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s\Work\Upwork\genome_data\genome_spark\analyses\"/>
    </mc:Choice>
  </mc:AlternateContent>
  <xr:revisionPtr revIDLastSave="0" documentId="8_{DD0495D0-6367-4F39-9A31-C25046CBD266}" xr6:coauthVersionLast="47" xr6:coauthVersionMax="47" xr10:uidLastSave="{00000000-0000-0000-0000-000000000000}"/>
  <bookViews>
    <workbookView xWindow="-120" yWindow="-120" windowWidth="20730" windowHeight="11160" xr2:uid="{6CE7FC8C-A23F-4CBC-82D7-68EF17BEF2F2}"/>
  </bookViews>
  <sheets>
    <sheet name="Sheet1" sheetId="1" r:id="rId1"/>
  </sheets>
  <definedNames>
    <definedName name="_xlnm._FilterDatabase" localSheetId="0" hidden="1">Sheet1!$B$5:$K$6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0" i="1"/>
  <c r="C11" i="1" s="1"/>
  <c r="C16" i="1" s="1"/>
  <c r="C17" i="1" s="1"/>
  <c r="C19" i="1" s="1"/>
  <c r="C9" i="1"/>
  <c r="C8" i="1"/>
</calcChain>
</file>

<file path=xl/sharedStrings.xml><?xml version="1.0" encoding="utf-8"?>
<sst xmlns="http://schemas.openxmlformats.org/spreadsheetml/2006/main" count="31" uniqueCount="18">
  <si>
    <t>in_size</t>
  </si>
  <si>
    <t>out_size</t>
  </si>
  <si>
    <t>4833439L19Rik</t>
  </si>
  <si>
    <t>N</t>
  </si>
  <si>
    <t>D</t>
  </si>
  <si>
    <t>divide by df</t>
  </si>
  <si>
    <t>t test</t>
  </si>
  <si>
    <t>SDP- sqrt()</t>
  </si>
  <si>
    <t>p-val</t>
  </si>
  <si>
    <t>variable</t>
  </si>
  <si>
    <t>in_mean</t>
  </si>
  <si>
    <t>in_sd</t>
  </si>
  <si>
    <t>out_mean</t>
  </si>
  <si>
    <t>out_sd</t>
  </si>
  <si>
    <t>df</t>
  </si>
  <si>
    <t>sdp</t>
  </si>
  <si>
    <t>t_test</t>
  </si>
  <si>
    <t>p_val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</si>
</sst>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1FAE-270A-45DA-A06E-CC17632971E4}">
  <dimension ref="B2:L19"/>
  <sheetViews>
    <sheetView tabSelected="1" workbookViewId="0"/>
  </sheetViews>
  <sheetFormatPr defaultRowHeight="15" x14ac:dyDescent="0.25"/>
  <cols>
    <col min="2" max="2" width="13.7109375" bestFit="1" customWidth="1"/>
    <col min="3" max="3" width="9.42578125" bestFit="1" customWidth="1"/>
    <col min="4" max="4" width="15.42578125" bestFit="1" customWidth="1"/>
    <col min="5" max="5" width="13.5703125" bestFit="1" customWidth="1"/>
    <col min="6" max="6" width="10.7109375" bestFit="1" customWidth="1"/>
    <col min="7" max="7" width="16.28515625" bestFit="1" customWidth="1"/>
    <col min="8" max="8" width="13.7109375" bestFit="1" customWidth="1"/>
    <col min="9" max="9" width="9.42578125" bestFit="1" customWidth="1"/>
    <col min="10" max="10" width="15.42578125" bestFit="1" customWidth="1"/>
    <col min="11" max="11" width="13.5703125" bestFit="1" customWidth="1"/>
    <col min="12" max="12" width="10.7109375" bestFit="1" customWidth="1"/>
    <col min="13" max="13" width="16.28515625" bestFit="1" customWidth="1"/>
    <col min="14" max="14" width="14" bestFit="1" customWidth="1"/>
    <col min="15" max="15" width="5.5703125" bestFit="1" customWidth="1"/>
    <col min="16" max="16" width="12" bestFit="1" customWidth="1"/>
    <col min="17" max="17" width="14" bestFit="1" customWidth="1"/>
  </cols>
  <sheetData>
    <row r="2" spans="2:12" x14ac:dyDescent="0.25">
      <c r="B2" s="1" t="s">
        <v>9</v>
      </c>
      <c r="C2" s="1" t="s">
        <v>0</v>
      </c>
      <c r="D2" s="1" t="s">
        <v>10</v>
      </c>
      <c r="E2" s="1" t="s">
        <v>11</v>
      </c>
      <c r="F2" s="1" t="s">
        <v>1</v>
      </c>
      <c r="G2" s="1" t="s">
        <v>12</v>
      </c>
      <c r="H2" s="1" t="s">
        <v>13</v>
      </c>
      <c r="I2" s="1" t="s">
        <v>14</v>
      </c>
      <c r="J2" s="1" t="s">
        <v>15</v>
      </c>
    </row>
    <row r="3" spans="2:12" x14ac:dyDescent="0.25">
      <c r="B3" t="s">
        <v>2</v>
      </c>
      <c r="C3">
        <v>31</v>
      </c>
      <c r="D3">
        <v>52.967741935483801</v>
      </c>
      <c r="E3">
        <v>287.31753443080601</v>
      </c>
      <c r="F3">
        <v>152</v>
      </c>
      <c r="G3">
        <v>86.539473684210506</v>
      </c>
      <c r="H3">
        <v>595.36133923804903</v>
      </c>
      <c r="I3">
        <v>181</v>
      </c>
      <c r="J3">
        <v>556.22675495983503</v>
      </c>
    </row>
    <row r="5" spans="2:12" x14ac:dyDescent="0.25">
      <c r="B5" s="1" t="s">
        <v>9</v>
      </c>
      <c r="C5" s="1" t="s">
        <v>0</v>
      </c>
      <c r="D5" s="1" t="s">
        <v>10</v>
      </c>
      <c r="E5" s="1" t="s">
        <v>11</v>
      </c>
      <c r="F5" s="1" t="s">
        <v>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</row>
    <row r="6" spans="2:12" x14ac:dyDescent="0.25">
      <c r="B6" t="s">
        <v>2</v>
      </c>
      <c r="C6">
        <v>31</v>
      </c>
      <c r="D6">
        <v>52.967741935483801</v>
      </c>
      <c r="E6">
        <v>287.31753443080601</v>
      </c>
      <c r="F6">
        <v>152</v>
      </c>
      <c r="G6">
        <v>86.539473684210506</v>
      </c>
      <c r="H6">
        <v>595.36133923804903</v>
      </c>
      <c r="I6">
        <v>181</v>
      </c>
      <c r="J6">
        <v>556.22675495983503</v>
      </c>
      <c r="K6">
        <v>-0.30626612615869098</v>
      </c>
      <c r="L6">
        <v>0.75975400000000004</v>
      </c>
    </row>
    <row r="8" spans="2:12" x14ac:dyDescent="0.25">
      <c r="B8" t="s">
        <v>3</v>
      </c>
      <c r="C8">
        <f>(C3-1)*E3*E3</f>
        <v>2476540.967741922</v>
      </c>
    </row>
    <row r="9" spans="2:12" x14ac:dyDescent="0.25">
      <c r="B9" t="s">
        <v>4</v>
      </c>
      <c r="C9">
        <f>(F3-1)*H3*H3</f>
        <v>53522723.763157815</v>
      </c>
    </row>
    <row r="10" spans="2:12" x14ac:dyDescent="0.25">
      <c r="B10" t="s">
        <v>5</v>
      </c>
      <c r="C10">
        <f>(C8+C9)/I3</f>
        <v>309388.20293314772</v>
      </c>
    </row>
    <row r="11" spans="2:12" x14ac:dyDescent="0.25">
      <c r="B11" t="s">
        <v>7</v>
      </c>
      <c r="C11">
        <f>SQRT(C10)</f>
        <v>556.22675495983447</v>
      </c>
    </row>
    <row r="14" spans="2:12" x14ac:dyDescent="0.25">
      <c r="B14" t="s">
        <v>6</v>
      </c>
    </row>
    <row r="15" spans="2:12" x14ac:dyDescent="0.25">
      <c r="B15" t="s">
        <v>3</v>
      </c>
      <c r="C15">
        <f>D3-G3</f>
        <v>-33.571731748726705</v>
      </c>
    </row>
    <row r="16" spans="2:12" x14ac:dyDescent="0.25">
      <c r="B16" t="s">
        <v>4</v>
      </c>
      <c r="C16">
        <f>C11*SQRT(1/C3+1/F3)</f>
        <v>109.61620917662795</v>
      </c>
    </row>
    <row r="17" spans="2:3" x14ac:dyDescent="0.25">
      <c r="B17" t="s">
        <v>6</v>
      </c>
      <c r="C17">
        <f>C15/C16</f>
        <v>-0.30626612615869198</v>
      </c>
    </row>
    <row r="19" spans="2:3" x14ac:dyDescent="0.25">
      <c r="B19" t="s">
        <v>8</v>
      </c>
      <c r="C19">
        <f>_xlfn.T.DIST.2T(ABS(C17),I3)</f>
        <v>0.75975403029590005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2021-10-02T06:38:31Z</dcterms:created>
  <dcterms:modified xsi:type="dcterms:W3CDTF">2021-10-02T07:30:01Z</dcterms:modified>
</cp:coreProperties>
</file>